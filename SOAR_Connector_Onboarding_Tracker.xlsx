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or Tracker" sheetId="1" state="visible" r:id="rId3"/>
    <sheet name="Process Guide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<sst xmlns="http://schemas.openxmlformats.org/spreadsheetml/2006/main" count="122" uniqueCount="106">
  <si>
    <t xml:space="preserve">Item #</t>
  </si>
  <si>
    <t xml:space="preserve">Connector / App Name</t>
  </si>
  <si>
    <t xml:space="preserve">Target System</t>
  </si>
  <si>
    <t xml:space="preserve">Use Case Description</t>
  </si>
  <si>
    <t xml:space="preserve">Requested By / Business Sponsor</t>
  </si>
  <si>
    <t xml:space="preserve">Priority</t>
  </si>
  <si>
    <t xml:space="preserve">Overall Status</t>
  </si>
  <si>
    <t xml:space="preserve">Current Stage</t>
  </si>
  <si>
    <t xml:space="preserve">Owning Team (API/Data Owner)</t>
  </si>
  <si>
    <t xml:space="preserve">Team Contact</t>
  </si>
  <si>
    <t xml:space="preserve">API Details Received? (Y/N)</t>
  </si>
  <si>
    <t xml:space="preserve">Access/Permissions Requested Date</t>
  </si>
  <si>
    <t xml:space="preserve">Access/Permissions Approved Date</t>
  </si>
  <si>
    <t xml:space="preserve">API URI Intake Submitted Date</t>
  </si>
  <si>
    <t xml:space="preserve">API URI Intake Approved Date</t>
  </si>
  <si>
    <t xml:space="preserve">API URI Intake Ticket #</t>
  </si>
  <si>
    <t xml:space="preserve">TDRC Submitted Date</t>
  </si>
  <si>
    <t xml:space="preserve">TDRC Approved Date</t>
  </si>
  <si>
    <t xml:space="preserve">TDRC Ticket #</t>
  </si>
  <si>
    <t xml:space="preserve">Implementation Start Date</t>
  </si>
  <si>
    <t xml:space="preserve">Implementation Complete Date</t>
  </si>
  <si>
    <t xml:space="preserve">Testing / UAT Complete Date</t>
  </si>
  <si>
    <t xml:space="preserve">Go-Live Date</t>
  </si>
  <si>
    <t xml:space="preserve">SOAR Engineer Assigned</t>
  </si>
  <si>
    <t xml:space="preserve">Blockers / Notes</t>
  </si>
  <si>
    <t xml:space="preserve">Example Connector A</t>
  </si>
  <si>
    <t xml:space="preserve">Example Target System</t>
  </si>
  <si>
    <t xml:space="preserve">Enrich alerts with reputation data</t>
  </si>
  <si>
    <t xml:space="preserve">SOC Analytics Lead</t>
  </si>
  <si>
    <t xml:space="preserve">High</t>
  </si>
  <si>
    <t xml:space="preserve">In Progress</t>
  </si>
  <si>
    <t xml:space="preserve">API URI Intake</t>
  </si>
  <si>
    <t xml:space="preserve">Platform Engineering</t>
  </si>
  <si>
    <t xml:space="preserve">Jane Doe</t>
  </si>
  <si>
    <t xml:space="preserve">Y</t>
  </si>
  <si>
    <t xml:space="preserve">2026-06-01</t>
  </si>
  <si>
    <t xml:space="preserve">2026-06-10</t>
  </si>
  <si>
    <t xml:space="preserve">2026-06-12</t>
  </si>
  <si>
    <t xml:space="preserve">URI-1042</t>
  </si>
  <si>
    <t xml:space="preserve">Waiting on intake board review</t>
  </si>
  <si>
    <t xml:space="preserve">Example Connector B</t>
  </si>
  <si>
    <t xml:space="preserve">Example Target System 2</t>
  </si>
  <si>
    <t xml:space="preserve">Automate case creation from ticketing system</t>
  </si>
  <si>
    <t xml:space="preserve">GSOC Manager</t>
  </si>
  <si>
    <t xml:space="preserve">Medium</t>
  </si>
  <si>
    <t xml:space="preserve">Not Started</t>
  </si>
  <si>
    <t xml:space="preserve">Use Case Identification</t>
  </si>
  <si>
    <t xml:space="preserve">N</t>
  </si>
  <si>
    <t xml:space="preserve">Need to confirm sponsor</t>
  </si>
  <si>
    <t xml:space="preserve">Example Connector C</t>
  </si>
  <si>
    <t xml:space="preserve">Example Target System 3</t>
  </si>
  <si>
    <t xml:space="preserve">Pull threat intel indicators</t>
  </si>
  <si>
    <t xml:space="preserve">Threat Intel Team</t>
  </si>
  <si>
    <t xml:space="preserve">Completed</t>
  </si>
  <si>
    <t xml:space="preserve">Go-Live</t>
  </si>
  <si>
    <t xml:space="preserve">Threat Intel Eng</t>
  </si>
  <si>
    <t xml:space="preserve">John Smith</t>
  </si>
  <si>
    <t xml:space="preserve">2026-04-01</t>
  </si>
  <si>
    <t xml:space="preserve">2026-04-08</t>
  </si>
  <si>
    <t xml:space="preserve">2026-04-10</t>
  </si>
  <si>
    <t xml:space="preserve">2026-04-20</t>
  </si>
  <si>
    <t xml:space="preserve">URI-0987</t>
  </si>
  <si>
    <t xml:space="preserve">2026-04-22</t>
  </si>
  <si>
    <t xml:space="preserve">2026-05-02</t>
  </si>
  <si>
    <t xml:space="preserve">TDRC-0456</t>
  </si>
  <si>
    <t xml:space="preserve">2026-05-05</t>
  </si>
  <si>
    <t xml:space="preserve">2026-05-20</t>
  </si>
  <si>
    <t xml:space="preserve">2026-05-25</t>
  </si>
  <si>
    <t xml:space="preserve">2026-05-27</t>
  </si>
  <si>
    <t xml:space="preserve">R. Singh</t>
  </si>
  <si>
    <t xml:space="preserve">SOAR Connector Onboarding — Process Guide</t>
  </si>
  <si>
    <t xml:space="preserve">Step</t>
  </si>
  <si>
    <t xml:space="preserve">Stage</t>
  </si>
  <si>
    <t xml:space="preserve">Description</t>
  </si>
  <si>
    <t xml:space="preserve">Tracker Column(s)</t>
  </si>
  <si>
    <t xml:space="preserve">Identify the business/security use case driving the need for a new connector.</t>
  </si>
  <si>
    <t xml:space="preserve">D, E</t>
  </si>
  <si>
    <t xml:space="preserve">Team / API Contact</t>
  </si>
  <si>
    <t xml:space="preserve">Identify the owning team for the target system and get API details from them.</t>
  </si>
  <si>
    <t xml:space="preserve">I, J, K</t>
  </si>
  <si>
    <t xml:space="preserve">API Access &amp; Permissions</t>
  </si>
  <si>
    <t xml:space="preserve">Request API access with the right permissions/scopes from the owning team.</t>
  </si>
  <si>
    <t xml:space="preserve">L, M</t>
  </si>
  <si>
    <t xml:space="preserve">Submit to the API URI Intake governing body for formal approval of the endpoint/connection.</t>
  </si>
  <si>
    <t xml:space="preserve">N, O, P</t>
  </si>
  <si>
    <t xml:space="preserve">TDRC Approval</t>
  </si>
  <si>
    <t xml:space="preserve">Submit for Technical Design Review Committee (TDRC) approval once API URI Intake is approved.</t>
  </si>
  <si>
    <t xml:space="preserve">Q, R, S</t>
  </si>
  <si>
    <t xml:space="preserve">Implementation</t>
  </si>
  <si>
    <t xml:space="preserve">Engage engineering team to build/configure the SOAR connector.</t>
  </si>
  <si>
    <t xml:space="preserve">T, X</t>
  </si>
  <si>
    <t xml:space="preserve">Testing / UAT</t>
  </si>
  <si>
    <t xml:space="preserve">Validate connector functionality end-to-end before production use.</t>
  </si>
  <si>
    <t xml:space="preserve">V</t>
  </si>
  <si>
    <t xml:space="preserve">Connector is live in production SOAR environment.</t>
  </si>
  <si>
    <t xml:space="preserve">U, W</t>
  </si>
  <si>
    <t xml:space="preserve">Note: Update 'Current Stage' and 'Overall Status' on the Connector Tracker tab as each connector moves through these steps.</t>
  </si>
  <si>
    <t xml:space="preserve">Connector Onboarding Dashboard</t>
  </si>
  <si>
    <t xml:space="preserve">Status</t>
  </si>
  <si>
    <t xml:space="preserve">Count</t>
  </si>
  <si>
    <t xml:space="preserve">Blocked</t>
  </si>
  <si>
    <t xml:space="preserve">On Hold</t>
  </si>
  <si>
    <t xml:space="preserve">Total Connectors Tracked</t>
  </si>
  <si>
    <t xml:space="preserve">By Stage</t>
  </si>
  <si>
    <t xml:space="preserve">Team/API Contact</t>
  </si>
  <si>
    <t xml:space="preserve">Testing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</si>
</sst>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2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6" min="12" style="0" width="16"/>
    <col collapsed="false" customWidth="true" hidden="false" outlineLevel="0" max="18" min="17" style="0" width="15"/>
    <col collapsed="false" customWidth="true" hidden="false" outlineLevel="0" max="19" min="19" style="0" width="14"/>
    <col collapsed="false" customWidth="true" hidden="false" outlineLevel="0" max="22" min="20" style="0" width="15"/>
    <col collapsed="false" customWidth="true" hidden="false" outlineLevel="0" max="23" min="23" style="0" width="13"/>
    <col collapsed="false" customWidth="true" hidden="false" outlineLevel="0" max="24" min="24" style="0" width="18"/>
    <col collapsed="false" customWidth="true" hidden="false" outlineLevel="0" max="25" min="25" style="0" width="35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</v>
      </c>
      <c r="B2" s="2" t="s">
        <v>25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/>
      <c r="P2" s="2" t="s">
        <v>38</v>
      </c>
      <c r="Q2" s="2"/>
      <c r="R2" s="2"/>
      <c r="S2" s="2"/>
      <c r="T2" s="2"/>
      <c r="U2" s="2"/>
      <c r="V2" s="2"/>
      <c r="W2" s="2"/>
      <c r="X2" s="2"/>
      <c r="Y2" s="3" t="s">
        <v>39</v>
      </c>
    </row>
    <row r="3" customFormat="false" ht="23.85" hidden="false" customHeight="false" outlineLevel="0" collapsed="false">
      <c r="A3" s="2" t="n">
        <v>2</v>
      </c>
      <c r="B3" s="2" t="s">
        <v>40</v>
      </c>
      <c r="C3" s="2" t="s">
        <v>41</v>
      </c>
      <c r="D3" s="3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/>
      <c r="J3" s="2"/>
      <c r="K3" s="2" t="s">
        <v>47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 t="s">
        <v>48</v>
      </c>
    </row>
    <row r="4" customFormat="false" ht="15" hidden="false" customHeight="false" outlineLevel="0" collapsed="false">
      <c r="A4" s="2" t="n">
        <v>3</v>
      </c>
      <c r="B4" s="2" t="s">
        <v>49</v>
      </c>
      <c r="C4" s="2" t="s">
        <v>50</v>
      </c>
      <c r="D4" s="3" t="s">
        <v>51</v>
      </c>
      <c r="E4" s="2" t="s">
        <v>52</v>
      </c>
      <c r="F4" s="2" t="s">
        <v>29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34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64</v>
      </c>
      <c r="T4" s="2" t="s">
        <v>65</v>
      </c>
      <c r="U4" s="2" t="s">
        <v>66</v>
      </c>
      <c r="V4" s="2" t="s">
        <v>67</v>
      </c>
      <c r="W4" s="2" t="s">
        <v>68</v>
      </c>
      <c r="X4" s="2" t="s">
        <v>69</v>
      </c>
      <c r="Y4" s="3"/>
    </row>
    <row r="5" customFormat="false" ht="15" hidden="false" customHeight="false" outlineLevel="0" collapsed="false">
      <c r="A5" s="4" t="str">
        <f aca="false">IF(B5="","",ROW()-1)</f>
        <v/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" hidden="false" customHeight="false" outlineLevel="0" collapsed="false">
      <c r="A6" s="4" t="str">
        <f aca="false">IF(B6="","",ROW()-1)</f>
        <v/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" hidden="false" customHeight="false" outlineLevel="0" collapsed="false">
      <c r="A7" s="4" t="str">
        <f aca="false">IF(B7="","",ROW()-1)</f>
        <v/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" hidden="false" customHeight="false" outlineLevel="0" collapsed="false">
      <c r="A8" s="4" t="str">
        <f aca="false">IF(B8="","",ROW()-1)</f>
        <v/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" hidden="false" customHeight="false" outlineLevel="0" collapsed="false">
      <c r="A9" s="4" t="str">
        <f aca="false">IF(B9="","",ROW()-1)</f>
        <v/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15" hidden="false" customHeight="false" outlineLevel="0" collapsed="false">
      <c r="A10" s="4" t="str">
        <f aca="false">IF(B10="","",ROW()-1)</f>
        <v/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5" hidden="false" customHeight="false" outlineLevel="0" collapsed="false">
      <c r="A11" s="4" t="str">
        <f aca="false">IF(B11="","",ROW()-1)</f>
        <v/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5" hidden="false" customHeight="false" outlineLevel="0" collapsed="false">
      <c r="A12" s="4" t="str">
        <f aca="false">IF(B12="","",ROW()-1)</f>
        <v/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" hidden="false" customHeight="false" outlineLevel="0" collapsed="false">
      <c r="A13" s="4" t="str">
        <f aca="false">IF(B13="","",ROW()-1)</f>
        <v/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15" hidden="false" customHeight="false" outlineLevel="0" collapsed="false">
      <c r="A14" s="4" t="str">
        <f aca="false">IF(B14="","",ROW()-1)</f>
        <v/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5" hidden="false" customHeight="false" outlineLevel="0" collapsed="false">
      <c r="A15" s="4" t="str">
        <f aca="false">IF(B15="","",ROW()-1)</f>
        <v/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" hidden="false" customHeight="false" outlineLevel="0" collapsed="false">
      <c r="A16" s="4" t="str">
        <f aca="false">IF(B16="","",ROW()-1)</f>
        <v/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" hidden="false" customHeight="false" outlineLevel="0" collapsed="false">
      <c r="A17" s="4" t="str">
        <f aca="false">IF(B17="","",ROW()-1)</f>
        <v/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" hidden="false" customHeight="false" outlineLevel="0" collapsed="false">
      <c r="A18" s="4" t="str">
        <f aca="false">IF(B18="","",ROW()-1)</f>
        <v/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Format="false" ht="15" hidden="false" customHeight="false" outlineLevel="0" collapsed="false">
      <c r="A19" s="4" t="str">
        <f aca="false">IF(B19="","",ROW()-1)</f>
        <v/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Format="false" ht="15" hidden="false" customHeight="false" outlineLevel="0" collapsed="false">
      <c r="A20" s="4" t="str">
        <f aca="false">IF(B20="","",ROW()-1)</f>
        <v/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Format="false" ht="15" hidden="false" customHeight="false" outlineLevel="0" collapsed="false">
      <c r="A21" s="4" t="str">
        <f aca="false">IF(B21="","",ROW()-1)</f>
        <v/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Format="false" ht="15" hidden="false" customHeight="false" outlineLevel="0" collapsed="false">
      <c r="A22" s="4" t="str">
        <f aca="false">IF(B22="","",ROW()-1)</f>
        <v/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Format="false" ht="15" hidden="false" customHeight="false" outlineLevel="0" collapsed="false">
      <c r="A23" s="4" t="str">
        <f aca="false">IF(B23="","",ROW()-1)</f>
        <v/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Format="false" ht="15" hidden="false" customHeight="false" outlineLevel="0" collapsed="false">
      <c r="A24" s="4" t="str">
        <f aca="false">IF(B24="","",ROW()-1)</f>
        <v/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Format="false" ht="15" hidden="false" customHeight="false" outlineLevel="0" collapsed="false">
      <c r="A25" s="4" t="str">
        <f aca="false">IF(B25="","",ROW()-1)</f>
        <v/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Format="false" ht="15" hidden="false" customHeight="false" outlineLevel="0" collapsed="false">
      <c r="A26" s="4" t="str">
        <f aca="false">IF(B26="","",ROW()-1)</f>
        <v/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Format="false" ht="15" hidden="false" customHeight="false" outlineLevel="0" collapsed="false">
      <c r="A27" s="4" t="str">
        <f aca="false">IF(B27="","",ROW()-1)</f>
        <v/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Format="false" ht="15" hidden="false" customHeight="false" outlineLevel="0" collapsed="false">
      <c r="A28" s="4" t="str">
        <f aca="false">IF(B28="","",ROW()-1)</f>
        <v/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Format="false" ht="15" hidden="false" customHeight="false" outlineLevel="0" collapsed="false">
      <c r="A29" s="4" t="str">
        <f aca="false">IF(B29="","",ROW()-1)</f>
        <v/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Format="false" ht="15" hidden="false" customHeight="false" outlineLevel="0" collapsed="false">
      <c r="A30" s="4" t="str">
        <f aca="false">IF(B30="","",ROW()-1)</f>
        <v/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Format="false" ht="15" hidden="false" customHeight="false" outlineLevel="0" collapsed="false">
      <c r="A31" s="4" t="str">
        <f aca="false">IF(B31="","",ROW()-1)</f>
        <v/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Format="false" ht="15" hidden="false" customHeight="false" outlineLevel="0" collapsed="false">
      <c r="A32" s="4" t="str">
        <f aca="false">IF(B32="","",ROW()-1)</f>
        <v/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Format="false" ht="15" hidden="false" customHeight="false" outlineLevel="0" collapsed="false">
      <c r="A33" s="4" t="str">
        <f aca="false">IF(B33="","",ROW()-1)</f>
        <v/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Format="false" ht="15" hidden="false" customHeight="false" outlineLevel="0" collapsed="false">
      <c r="A34" s="4" t="str">
        <f aca="false">IF(B34="","",ROW()-1)</f>
        <v/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Format="false" ht="15" hidden="false" customHeight="false" outlineLevel="0" collapsed="false">
      <c r="A35" s="4" t="str">
        <f aca="false">IF(B35="","",ROW()-1)</f>
        <v/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Format="false" ht="15" hidden="false" customHeight="false" outlineLevel="0" collapsed="false">
      <c r="A36" s="4" t="str">
        <f aca="false">IF(B36="","",ROW()-1)</f>
        <v/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Format="false" ht="15" hidden="false" customHeight="false" outlineLevel="0" collapsed="false">
      <c r="A37" s="4" t="str">
        <f aca="false">IF(B37="","",ROW()-1)</f>
        <v/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5" hidden="false" customHeight="false" outlineLevel="0" collapsed="false">
      <c r="A38" s="4" t="str">
        <f aca="false">IF(B38="","",ROW()-1)</f>
        <v/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5" hidden="false" customHeight="false" outlineLevel="0" collapsed="false">
      <c r="A39" s="4" t="str">
        <f aca="false">IF(B39="","",ROW()-1)</f>
        <v/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5" hidden="false" customHeight="false" outlineLevel="0" collapsed="false">
      <c r="A40" s="4" t="str">
        <f aca="false">IF(B40="","",ROW()-1)</f>
        <v/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5" hidden="false" customHeight="false" outlineLevel="0" collapsed="false">
      <c r="A41" s="4" t="str">
        <f aca="false">IF(B41="","",ROW()-1)</f>
        <v/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5" hidden="false" customHeight="false" outlineLevel="0" collapsed="false">
      <c r="A42" s="4" t="str">
        <f aca="false">IF(B42="","",ROW()-1)</f>
        <v/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5" hidden="false" customHeight="false" outlineLevel="0" collapsed="false">
      <c r="A43" s="4" t="str">
        <f aca="false">IF(B43="","",ROW()-1)</f>
        <v/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Format="false" ht="15" hidden="false" customHeight="false" outlineLevel="0" collapsed="false">
      <c r="A44" s="4" t="str">
        <f aca="false">IF(B44="","",ROW()-1)</f>
        <v/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Format="false" ht="15" hidden="false" customHeight="false" outlineLevel="0" collapsed="false">
      <c r="A45" s="4" t="str">
        <f aca="false">IF(B45="","",ROW()-1)</f>
        <v/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Format="false" ht="15" hidden="false" customHeight="false" outlineLevel="0" collapsed="false">
      <c r="A46" s="4" t="str">
        <f aca="false">IF(B46="","",ROW()-1)</f>
        <v/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Format="false" ht="15" hidden="false" customHeight="false" outlineLevel="0" collapsed="false">
      <c r="A47" s="4" t="str">
        <f aca="false">IF(B47="","",ROW()-1)</f>
        <v/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Format="false" ht="15" hidden="false" customHeight="false" outlineLevel="0" collapsed="false">
      <c r="A48" s="4" t="str">
        <f aca="false">IF(B48="","",ROW()-1)</f>
        <v/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Format="false" ht="15" hidden="false" customHeight="false" outlineLevel="0" collapsed="false">
      <c r="A49" s="4" t="str">
        <f aca="false">IF(B49="","",ROW()-1)</f>
        <v/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Format="false" ht="15" hidden="false" customHeight="false" outlineLevel="0" collapsed="false">
      <c r="A50" s="4" t="str">
        <f aca="false">IF(B50="","",ROW()-1)</f>
        <v/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Format="false" ht="15" hidden="false" customHeight="false" outlineLevel="0" collapsed="false">
      <c r="A51" s="4" t="str">
        <f aca="false">IF(B51="","",ROW()-1)</f>
        <v/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Format="false" ht="15" hidden="false" customHeight="false" outlineLevel="0" collapsed="false">
      <c r="A52" s="4" t="str">
        <f aca="false">IF(B52="","",ROW()-1)</f>
        <v/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Format="false" ht="15" hidden="false" customHeight="false" outlineLevel="0" collapsed="false">
      <c r="A53" s="4" t="str">
        <f aca="false">IF(B53="","",ROW()-1)</f>
        <v/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Format="false" ht="15" hidden="false" customHeight="false" outlineLevel="0" collapsed="false">
      <c r="A54" s="4" t="str">
        <f aca="false">IF(B54="","",ROW()-1)</f>
        <v/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Format="false" ht="15" hidden="false" customHeight="false" outlineLevel="0" collapsed="false">
      <c r="A55" s="4" t="str">
        <f aca="false">IF(B55="","",ROW()-1)</f>
        <v/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Format="false" ht="15" hidden="false" customHeight="false" outlineLevel="0" collapsed="false">
      <c r="A56" s="4" t="str">
        <f aca="false">IF(B56="","",ROW()-1)</f>
        <v/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Format="false" ht="15" hidden="false" customHeight="false" outlineLevel="0" collapsed="false">
      <c r="A57" s="4" t="str">
        <f aca="false">IF(B57="","",ROW()-1)</f>
        <v/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Format="false" ht="15" hidden="false" customHeight="false" outlineLevel="0" collapsed="false">
      <c r="A58" s="4" t="str">
        <f aca="false">IF(B58="","",ROW()-1)</f>
        <v/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Format="false" ht="15" hidden="false" customHeight="false" outlineLevel="0" collapsed="false">
      <c r="A59" s="4" t="str">
        <f aca="false">IF(B59="","",ROW()-1)</f>
        <v/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Format="false" ht="15" hidden="false" customHeight="false" outlineLevel="0" collapsed="false">
      <c r="A60" s="4" t="str">
        <f aca="false">IF(B60="","",ROW()-1)</f>
        <v/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</sheetData>
  <conditionalFormatting sqref="G2:G60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"Blocked"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"Not Started"</formula>
    </cfRule>
  </conditionalFormatting>
  <dataValidations count="4">
    <dataValidation allowBlank="true" errorStyle="stop" operator="between" showDropDown="false" showErrorMessage="false" showInputMessage="false" sqref="F2:F60" type="list">
      <formula1>"High,Medium,Low"</formula1>
      <formula2>0</formula2>
    </dataValidation>
    <dataValidation allowBlank="true" errorStyle="stop" operator="between" showDropDown="false" showErrorMessage="false" showInputMessage="false" sqref="G2:G60" type="list">
      <formula1>"Not Started,In Progress,Blocked,Completed,On Hold"</formula1>
      <formula2>0</formula2>
    </dataValidation>
    <dataValidation allowBlank="true" errorStyle="stop" operator="between" showDropDown="false" showErrorMessage="false" showInputMessage="false" sqref="H2:H60" type="list">
      <formula1>"Use Case Identification,Team/API Contact,API Access &amp; Permissions,API URI Intake,TDRC Approval,Implementation,Testing,Go-Live"</formula1>
      <formula2>0</formula2>
    </dataValidation>
    <dataValidation allowBlank="true" errorStyle="stop" operator="between" showDropDown="false" showErrorMessage="false" showInputMessage="false" sqref="K2:K6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5" t="s">
        <v>70</v>
      </c>
      <c r="B1" s="5"/>
      <c r="C1" s="5"/>
      <c r="D1" s="5"/>
    </row>
    <row r="3" customFormat="false" ht="15" hidden="false" customHeight="false" outlineLevel="0" collapsed="false">
      <c r="A3" s="6" t="s">
        <v>71</v>
      </c>
      <c r="B3" s="6" t="s">
        <v>72</v>
      </c>
      <c r="C3" s="6" t="s">
        <v>73</v>
      </c>
      <c r="D3" s="6" t="s">
        <v>74</v>
      </c>
    </row>
    <row r="4" customFormat="false" ht="30" hidden="false" customHeight="true" outlineLevel="0" collapsed="false">
      <c r="A4" s="3" t="n">
        <v>1</v>
      </c>
      <c r="B4" s="3" t="s">
        <v>46</v>
      </c>
      <c r="C4" s="3" t="s">
        <v>75</v>
      </c>
      <c r="D4" s="3" t="s">
        <v>76</v>
      </c>
    </row>
    <row r="5" customFormat="false" ht="30" hidden="false" customHeight="true" outlineLevel="0" collapsed="false">
      <c r="A5" s="3" t="n">
        <v>2</v>
      </c>
      <c r="B5" s="3" t="s">
        <v>77</v>
      </c>
      <c r="C5" s="3" t="s">
        <v>78</v>
      </c>
      <c r="D5" s="3" t="s">
        <v>79</v>
      </c>
    </row>
    <row r="6" customFormat="false" ht="30" hidden="false" customHeight="true" outlineLevel="0" collapsed="false">
      <c r="A6" s="3" t="n">
        <v>3</v>
      </c>
      <c r="B6" s="3" t="s">
        <v>80</v>
      </c>
      <c r="C6" s="3" t="s">
        <v>81</v>
      </c>
      <c r="D6" s="3" t="s">
        <v>82</v>
      </c>
    </row>
    <row r="7" customFormat="false" ht="30" hidden="false" customHeight="true" outlineLevel="0" collapsed="false">
      <c r="A7" s="3" t="n">
        <v>4</v>
      </c>
      <c r="B7" s="3" t="s">
        <v>31</v>
      </c>
      <c r="C7" s="3" t="s">
        <v>83</v>
      </c>
      <c r="D7" s="3" t="s">
        <v>84</v>
      </c>
    </row>
    <row r="8" customFormat="false" ht="30" hidden="false" customHeight="true" outlineLevel="0" collapsed="false">
      <c r="A8" s="3" t="n">
        <v>5</v>
      </c>
      <c r="B8" s="3" t="s">
        <v>85</v>
      </c>
      <c r="C8" s="3" t="s">
        <v>86</v>
      </c>
      <c r="D8" s="3" t="s">
        <v>87</v>
      </c>
    </row>
    <row r="9" customFormat="false" ht="30" hidden="false" customHeight="true" outlineLevel="0" collapsed="false">
      <c r="A9" s="3" t="n">
        <v>6</v>
      </c>
      <c r="B9" s="3" t="s">
        <v>88</v>
      </c>
      <c r="C9" s="3" t="s">
        <v>89</v>
      </c>
      <c r="D9" s="3" t="s">
        <v>90</v>
      </c>
    </row>
    <row r="10" customFormat="false" ht="30" hidden="false" customHeight="true" outlineLevel="0" collapsed="false">
      <c r="A10" s="3" t="n">
        <v>7</v>
      </c>
      <c r="B10" s="3" t="s">
        <v>91</v>
      </c>
      <c r="C10" s="3" t="s">
        <v>92</v>
      </c>
      <c r="D10" s="3" t="s">
        <v>93</v>
      </c>
    </row>
    <row r="11" customFormat="false" ht="30" hidden="false" customHeight="true" outlineLevel="0" collapsed="false">
      <c r="A11" s="3" t="n">
        <v>8</v>
      </c>
      <c r="B11" s="3" t="s">
        <v>54</v>
      </c>
      <c r="C11" s="3" t="s">
        <v>94</v>
      </c>
      <c r="D11" s="3" t="s">
        <v>95</v>
      </c>
    </row>
    <row r="14" customFormat="false" ht="15" hidden="false" customHeight="false" outlineLevel="0" collapsed="false">
      <c r="A14" s="7" t="s">
        <v>96</v>
      </c>
      <c r="B14" s="7"/>
      <c r="C14" s="7"/>
      <c r="D14" s="7"/>
    </row>
  </sheetData>
  <mergeCells count="2">
    <mergeCell ref="A1:D1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97</v>
      </c>
      <c r="B1" s="5"/>
    </row>
    <row r="3" customFormat="false" ht="15" hidden="false" customHeight="false" outlineLevel="0" collapsed="false">
      <c r="A3" s="8" t="s">
        <v>98</v>
      </c>
      <c r="B3" s="8" t="s">
        <v>99</v>
      </c>
    </row>
    <row r="4" customFormat="false" ht="15" hidden="false" customHeight="false" outlineLevel="0" collapsed="false">
      <c r="A4" s="4" t="s">
        <v>45</v>
      </c>
      <c r="B4" s="9" t="n">
        <f aca="false">COUNTIF('Connector Tracker'!G:G,"Not Started")</f>
        <v>1</v>
      </c>
    </row>
    <row r="5" customFormat="false" ht="15" hidden="false" customHeight="false" outlineLevel="0" collapsed="false">
      <c r="A5" s="4" t="s">
        <v>30</v>
      </c>
      <c r="B5" s="9" t="n">
        <f aca="false">COUNTIF('Connector Tracker'!G:G,"In Progress")</f>
        <v>1</v>
      </c>
    </row>
    <row r="6" customFormat="false" ht="15" hidden="false" customHeight="false" outlineLevel="0" collapsed="false">
      <c r="A6" s="4" t="s">
        <v>100</v>
      </c>
      <c r="B6" s="9" t="n">
        <f aca="false">COUNTIF('Connector Tracker'!G:G,"Blocked")</f>
        <v>0</v>
      </c>
    </row>
    <row r="7" customFormat="false" ht="15" hidden="false" customHeight="false" outlineLevel="0" collapsed="false">
      <c r="A7" s="4" t="s">
        <v>53</v>
      </c>
      <c r="B7" s="9" t="n">
        <f aca="false">COUNTIF('Connector Tracker'!G:G,"Completed")</f>
        <v>1</v>
      </c>
    </row>
    <row r="8" customFormat="false" ht="15" hidden="false" customHeight="false" outlineLevel="0" collapsed="false">
      <c r="A8" s="4" t="s">
        <v>101</v>
      </c>
      <c r="B8" s="9" t="n">
        <f aca="false">COUNTIF('Connector Tracker'!G:G,"On Hold")</f>
        <v>0</v>
      </c>
    </row>
    <row r="10" customFormat="false" ht="15" hidden="false" customHeight="false" outlineLevel="0" collapsed="false">
      <c r="A10" s="10" t="s">
        <v>102</v>
      </c>
      <c r="B10" s="10" t="n">
        <f aca="false">COUNTA('Connector Tracker'!B2:B60)</f>
        <v>3</v>
      </c>
    </row>
    <row r="13" customFormat="false" ht="15" hidden="false" customHeight="false" outlineLevel="0" collapsed="false">
      <c r="A13" s="11" t="s">
        <v>103</v>
      </c>
    </row>
    <row r="14" customFormat="false" ht="15" hidden="false" customHeight="false" outlineLevel="0" collapsed="false">
      <c r="A14" s="8" t="s">
        <v>72</v>
      </c>
      <c r="B14" s="8" t="s">
        <v>99</v>
      </c>
    </row>
    <row r="15" customFormat="false" ht="15" hidden="false" customHeight="false" outlineLevel="0" collapsed="false">
      <c r="A15" s="4" t="s">
        <v>46</v>
      </c>
      <c r="B15" s="9" t="n">
        <f aca="false">COUNTIF('Connector Tracker'!H:H,"Use Case Identification")</f>
        <v>1</v>
      </c>
    </row>
    <row r="16" customFormat="false" ht="15" hidden="false" customHeight="false" outlineLevel="0" collapsed="false">
      <c r="A16" s="4" t="s">
        <v>104</v>
      </c>
      <c r="B16" s="9" t="n">
        <f aca="false">COUNTIF('Connector Tracker'!H:H,"Team/API Contact")</f>
        <v>0</v>
      </c>
    </row>
    <row r="17" customFormat="false" ht="15" hidden="false" customHeight="false" outlineLevel="0" collapsed="false">
      <c r="A17" s="4" t="s">
        <v>80</v>
      </c>
      <c r="B17" s="9" t="n">
        <f aca="false">COUNTIF('Connector Tracker'!H:H,"API Access &amp; Permissions")</f>
        <v>0</v>
      </c>
    </row>
    <row r="18" customFormat="false" ht="15" hidden="false" customHeight="false" outlineLevel="0" collapsed="false">
      <c r="A18" s="4" t="s">
        <v>31</v>
      </c>
      <c r="B18" s="9" t="n">
        <f aca="false">COUNTIF('Connector Tracker'!H:H,"API URI Intake")</f>
        <v>1</v>
      </c>
    </row>
    <row r="19" customFormat="false" ht="15" hidden="false" customHeight="false" outlineLevel="0" collapsed="false">
      <c r="A19" s="4" t="s">
        <v>85</v>
      </c>
      <c r="B19" s="9" t="n">
        <f aca="false">COUNTIF('Connector Tracker'!H:H,"TDRC Approval")</f>
        <v>0</v>
      </c>
    </row>
    <row r="20" customFormat="false" ht="15" hidden="false" customHeight="false" outlineLevel="0" collapsed="false">
      <c r="A20" s="4" t="s">
        <v>88</v>
      </c>
      <c r="B20" s="9" t="n">
        <f aca="false">COUNTIF('Connector Tracker'!H:H,"Implementation")</f>
        <v>0</v>
      </c>
    </row>
    <row r="21" customFormat="false" ht="15" hidden="false" customHeight="false" outlineLevel="0" collapsed="false">
      <c r="A21" s="4" t="s">
        <v>105</v>
      </c>
      <c r="B21" s="9" t="n">
        <f aca="false">COUNTIF('Connector Tracker'!H:H,"Testing")</f>
        <v>0</v>
      </c>
    </row>
    <row r="22" customFormat="false" ht="15" hidden="false" customHeight="false" outlineLevel="0" collapsed="false">
      <c r="A22" s="4" t="s">
        <v>54</v>
      </c>
      <c r="B22" s="9" t="n">
        <f aca="false">COUNTIF('Connector Tracker'!H:H,"Go-Live")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2026-07-07T01:30:48Z</dcterms:created>
  <dc:creator>openpyxl</dc:creator>
  <dc:description/>
  <dc:language>en-US</dc:language>
  <cp:lastModifiedBy/>
  <dcterms:modified xsi:type="dcterms:W3CDTF">2026-07-07T01:30:48Z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